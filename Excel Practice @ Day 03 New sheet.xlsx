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040F3C00-82A2-4BC1-A84D-C372027F7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<sst xmlns="http://schemas.openxmlformats.org/spreadsheetml/2006/main" count="468" uniqueCount="235">
  <si>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</si>
  <si>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</si>
  <si>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</si>
  <si>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</si>
  <si>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</si>
  <si>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</si>
  <si>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</si>
  <si>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</si>
  <si>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</si>
  <si>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</si>
  <si>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</si>
  <si>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</si>
  <si>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</si>
  <si>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</si>
  <si>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</si>
  <si>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</si>
  <si>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</si>
  <si>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</si>
  <si>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</si>
  <si>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</si>
  <si>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</si>
  <si>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</si>
  <si>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</si>
  <si>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</si>
  <si>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</si>
  <si>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</si>
  <si>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</si>
  <si>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</si>
  <si>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</si>
  <si>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</si>
  <si>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</si>
  <si>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</si>
  <si>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</si>
  <si>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</si>
  <si>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</si>
  <si>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</si>
  <si>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</si>
  <si>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</si>
  <si>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</si>
  <si>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</si>
  <si>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</si>
  <si>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</si>
  <si>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</si>
  <si>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</si>
  <si>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</si>
  <si>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</si>
  <si>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</si>
  <si>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</si>
  <si>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</si>
  <si>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</si>
  <si>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</si>
  <si>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</si>
  <si>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</si>
  <si>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</si>
  <si>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</si>
  <si>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</si>
  <si>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</si>
  <si>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</si>
  <si>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</si>
  <si>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</si>
  <si>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</si>
  <si>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</si>
  <si>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</si>
  <si>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</si>
  <si>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</si>
  <si>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</si>
  <si>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</si>
  <si>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</si>
  <si>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</si>
  <si>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</si>
  <si>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</si>
  <si>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</si>
  <si>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</si>
  <si>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</si>
  <si>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</si>
  <si>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</si>
  <si>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</si>
  <si>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</si>
  <si>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</si>
  <si>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</si>
  <si>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</si>
  <si>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</si>
  <si>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</si>
  <si>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</si>
  <si>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</si>
  <si>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</si>
  <si>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</si>
  <si>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</si>
  <si>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</si>
  <si>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</si>
  <si>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</si>
  <si>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</si>
  <si>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</si>
  <si>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</si>
  <si>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</si>
  <si>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</si>
  <si>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</si>
  <si>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</si>
  <si>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</si>
  <si>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</si>
  <si>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</si>
  <si>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</si>
  <si>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</si>
  <si>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</si>
  <si>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</si>
  <si>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</si>
  <si>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</si>
  <si>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</si>
  <si>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</si>
  <si>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</si>
  <si>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</si>
  <si>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</si>
  <si>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</si>
  <si>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</si>
  <si>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</si>
  <si>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</si>
  <si>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</si>
  <si>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</si>
  <si>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</si>
  <si>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</si>
  <si>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</si>
  <si>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</si>
  <si>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</si>
  <si>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</si>
  <si>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</si>
  <si>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</si>
  <si>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</si>
  <si>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</si>
  <si>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</si>
  <si>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</si>
  <si>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</si>
  <si>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</si>
  <si>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</si>
  <si>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</si>
  <si>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</si>
  <si>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</si>
  <si>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</si>
  <si>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</si>
  <si>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</si>
  <si>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</si>
  <si>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</si>
  <si>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</si>
  <si>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</si>
  <si>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</si>
  <si>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</si>
  <si>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</si>
  <si>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</si>
  <si>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</si>
  <si>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</si>
  <si>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</si>
  <si>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</si>
  <si>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</si>
  <si>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</si>
  <si>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</si>
  <si>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</si>
  <si>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</si>
  <si>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</si>
  <si>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</si>
  <si>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</si>
  <si>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</si>
  <si>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</si>
  <si>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</si>
  <si>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</si>
  <si>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</si>
  <si>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</si>
  <si>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</si>
  <si>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</si>
  <si>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</si>
  <si>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</si>
  <si>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</si>
  <si>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</si>
  <si>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</si>
  <si>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</si>
  <si>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</si>
  <si>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</si>
  <si>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</si>
  <si>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</si>
  <si>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</si>
  <si>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</si>
  <si>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</si>
  <si>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</si>
  <si>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</si>
  <si>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</si>
  <si>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</si>
  <si>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</si>
  <si>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</si>
  <si>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</si>
  <si>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</si>
  <si>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</si>
  <si>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</si>
  <si>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</si>
  <si>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</si>
  <si>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</si>
  <si>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</si>
  <si>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</si>
  <si>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</si>
  <si>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</si>
  <si>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</si>
  <si>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</si>
  <si>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</si>
  <si>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</si>
  <si>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</si>
  <si>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</si>
  <si>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</si>
  <si>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</si>
  <si>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</si>
  <si>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</si>
  <si>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</si>
  <si>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</si>
  <si>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</si>
  <si>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</si>
  <si>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</si>
  <si>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</si>
  <si>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</si>
  <si>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</si>
  <si>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</si>
  <si>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</si>
  <si>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</si>
  <si>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</si>
  <si>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</si>
  <si>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</si>
  <si>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</si>
  <si>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</si>
  <si>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</si>
  <si>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Find total billing for Neurology department.</t>
  </si>
  <si>
    <t>Payment Alert</t>
  </si>
  <si>
    <t>Bill Category</t>
  </si>
  <si>
    <t>Age Category</t>
  </si>
  <si>
    <t>Bill Case</t>
  </si>
  <si>
    <t>&lt;15000</t>
  </si>
  <si>
    <t>&gt;=15000 and &lt;=30000</t>
  </si>
  <si>
    <t>&gt;30000 and &lt;=50000</t>
  </si>
  <si>
    <t>&gt;50000</t>
  </si>
  <si>
    <t>low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</si>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</sst>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B13" zoomScale="43" zoomScaleNormal="170" workbookViewId="0">
      <selection activeCell="E28" sqref="E28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/>
      <c r="S1" s="14"/>
      <c r="T1" s="14"/>
      <c r="U1" t="s">
        <v>226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IF(L2="Pending","Followup","No Action")</f>
        <v>No Action</v>
      </c>
      <c r="O2" t="str">
        <f>IF(K2&gt;40000,"High Bill","Normal Bill")</f>
        <v>Normal Bill</v>
      </c>
      <c r="P2" t="str">
        <f>IF(C2&gt;=60,"Senior Citizen","Non- Senior")</f>
        <v>Non- Senior</v>
      </c>
      <c r="Q2" t="str">
        <f>IF(AND(K2&gt;40000,M2&gt;5),"High Billing Case","Normal Case")</f>
        <v>Normal Case</v>
      </c>
      <c r="R2" t="str">
        <f>IF(AND(K2&gt;30000,L2="Pending"),"Urgent Payment Followup","No Action")</f>
        <v>No Action</v>
      </c>
      <c r="S2" t="str">
        <f>IF(OR(E2="Cardialogy",E2="Neurology"),"Priority Department","Regular Department")</f>
        <v>Regular Department</v>
      </c>
      <c r="T2" t="str">
        <f>IF(NOT(L2="Pending"),"Payment Completed","Payment Pending")</f>
        <v>Payment Completed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Citizen","Non- Senior")</f>
        <v>Non- Senior</v>
      </c>
      <c r="Q3" t="str">
        <f t="shared" ref="Q3:Q41" si="3">IF(AND(K3&gt;40000,M3&gt;5),"High Billing Case","Normal Case")</f>
        <v>High Billing Case</v>
      </c>
      <c r="R3" t="str">
        <f t="shared" ref="R3:R41" si="4">IF(AND(K3&gt;30000,L3="Pending"),"Urgent Payment Followup","No Action")</f>
        <v>No Action</v>
      </c>
      <c r="S3" t="str">
        <f t="shared" ref="S3:S41" si="5">IF(OR(E3="Cardialogy",E3="Neurology"),"Priority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IF(K3&lt;15000,"Low",IF(K3&lt;=30000,"Medium",IF(K3&lt;=50000,"High","Very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Followup</v>
      </c>
      <c r="O5" t="str">
        <f t="shared" si="1"/>
        <v>Normal Bill</v>
      </c>
      <c r="P5" t="str">
        <f t="shared" si="2"/>
        <v>Non- Senior</v>
      </c>
      <c r="Q5" t="str">
        <f t="shared" si="3"/>
        <v>Normal Case</v>
      </c>
      <c r="R5" t="str">
        <f t="shared" si="4"/>
        <v>No Action</v>
      </c>
      <c r="S5" t="str">
        <f t="shared" si="5"/>
        <v>Regular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Followup</v>
      </c>
      <c r="S8" t="str">
        <f t="shared" si="5"/>
        <v>Regular Department</v>
      </c>
      <c r="T8" t="str">
        <f t="shared" si="6"/>
        <v>Payment Pending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Regular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Followup</v>
      </c>
      <c r="O13" t="str">
        <f t="shared" si="1"/>
        <v>Normal Bill</v>
      </c>
      <c r="P13" t="str">
        <f t="shared" si="2"/>
        <v>Non- Senior</v>
      </c>
      <c r="Q13" t="str">
        <f t="shared" si="3"/>
        <v>Normal Case</v>
      </c>
      <c r="R13" t="str">
        <f t="shared" si="4"/>
        <v>Urgent Payment Followup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Payment Followup</v>
      </c>
      <c r="S16" t="str">
        <f t="shared" si="5"/>
        <v>Regular Department</v>
      </c>
      <c r="T16" t="str">
        <f t="shared" si="6"/>
        <v>Payment Pending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Followup</v>
      </c>
      <c r="O20" t="str">
        <f t="shared" si="1"/>
        <v>Normal Bill</v>
      </c>
      <c r="P20" t="str">
        <f t="shared" si="2"/>
        <v>Non-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 Senior</v>
      </c>
      <c r="Q21" t="str">
        <f t="shared" si="3"/>
        <v>Normal Case</v>
      </c>
      <c r="R21" t="str">
        <f t="shared" si="4"/>
        <v>No Action</v>
      </c>
      <c r="S21" t="str">
        <f t="shared" si="5"/>
        <v>Regular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Followup</v>
      </c>
      <c r="O25" t="str">
        <f t="shared" si="1"/>
        <v>Normal Bill</v>
      </c>
      <c r="P25" t="str">
        <f t="shared" si="2"/>
        <v>Non-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Regular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234</v>
      </c>
      <c r="F28" t="s">
        <v>108</v>
      </c>
      <c r="G28" s="2">
        <v>46096</v>
      </c>
      <c r="H28" s="2"/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Followup</v>
      </c>
      <c r="O28" t="str">
        <f t="shared" si="1"/>
        <v>Normal Bill</v>
      </c>
      <c r="P28" t="str">
        <f t="shared" si="2"/>
        <v>Non-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 Senior</v>
      </c>
      <c r="Q31" t="str">
        <f t="shared" si="3"/>
        <v>Normal Case</v>
      </c>
      <c r="R31" t="str">
        <f t="shared" si="4"/>
        <v>No Action</v>
      </c>
      <c r="S31" t="str">
        <f t="shared" si="5"/>
        <v>Regular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Payment Followup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Payment Followup</v>
      </c>
      <c r="S36" t="str">
        <f t="shared" si="5"/>
        <v>Regular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Regular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  <c r="H47">
        <v>1019500</v>
      </c>
    </row>
    <row r="48" spans="1:22">
      <c r="E48" t="s">
        <v>224</v>
      </c>
      <c r="H48">
        <v>443500</v>
      </c>
    </row>
    <row r="49" spans="5:8">
      <c r="E49" t="s">
        <v>138</v>
      </c>
      <c r="H49">
        <v>7</v>
      </c>
    </row>
    <row r="50" spans="5:8">
      <c r="E50" t="s">
        <v>139</v>
      </c>
      <c r="H50">
        <v>25571.42857</v>
      </c>
    </row>
    <row r="51" spans="5:8">
      <c r="E51" t="s">
        <v>124</v>
      </c>
      <c r="H51">
        <v>499500</v>
      </c>
    </row>
    <row r="52" spans="5:8">
      <c r="E52" t="s">
        <v>125</v>
      </c>
      <c r="H52">
        <v>10</v>
      </c>
    </row>
    <row r="53" spans="5:8">
      <c r="E53" t="s">
        <v>126</v>
      </c>
      <c r="H53">
        <f>SUMIF(L2:L41,L8,K2:K41)</f>
        <v>344500</v>
      </c>
    </row>
    <row r="54" spans="5:8">
      <c r="E54" t="s">
        <v>127</v>
      </c>
      <c r="H54">
        <v>275500</v>
      </c>
    </row>
    <row r="55" spans="5:8">
      <c r="E55" t="s">
        <v>128</v>
      </c>
      <c r="H55">
        <v>4</v>
      </c>
    </row>
    <row r="56" spans="5:8">
      <c r="E56" t="s">
        <v>129</v>
      </c>
      <c r="H56">
        <v>25766.666669999999</v>
      </c>
    </row>
    <row r="57" spans="5:8">
      <c r="E57" t="s">
        <v>130</v>
      </c>
      <c r="H57">
        <v>9</v>
      </c>
    </row>
    <row r="58" spans="5:8">
      <c r="E58" t="s">
        <v>131</v>
      </c>
      <c r="H58">
        <v>508000</v>
      </c>
    </row>
    <row r="59" spans="5:8">
      <c r="E59" t="s">
        <v>132</v>
      </c>
      <c r="H59">
        <v>11</v>
      </c>
    </row>
    <row r="60" spans="5:8">
      <c r="E60" t="s">
        <v>133</v>
      </c>
    </row>
    <row r="61" spans="5:8">
      <c r="E61" t="s">
        <v>134</v>
      </c>
      <c r="H61">
        <v>32000</v>
      </c>
    </row>
    <row r="62" spans="5:8">
      <c r="E62" t="s">
        <v>135</v>
      </c>
      <c r="H62">
        <v>5.8</v>
      </c>
    </row>
    <row r="63" spans="5:8">
      <c r="E63" t="s">
        <v>136</v>
      </c>
      <c r="H63">
        <v>76000</v>
      </c>
    </row>
    <row r="64" spans="5:8">
      <c r="E64" t="s">
        <v>137</v>
      </c>
      <c r="H64">
        <v>12500</v>
      </c>
    </row>
    <row r="65" spans="5:8">
      <c r="E65" t="s">
        <v>140</v>
      </c>
      <c r="H65">
        <v>4</v>
      </c>
    </row>
    <row r="66" spans="5:8">
      <c r="E66" t="s">
        <v>141</v>
      </c>
      <c r="H66"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G47"/>
  <sheetViews>
    <sheetView zoomScale="180" zoomScaleNormal="180" workbookViewId="0">
      <selection activeCell="E32" sqref="E32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185</v>
      </c>
    </row>
    <row r="2" spans="1:1">
      <c r="A2" t="s">
        <v>186</v>
      </c>
    </row>
    <row r="3" spans="1:1">
      <c r="A3" t="s">
        <v>187</v>
      </c>
    </row>
    <row r="5" spans="1:1">
      <c r="A5" t="s">
        <v>188</v>
      </c>
    </row>
    <row r="6" spans="1:1">
      <c r="A6" s="11" t="s">
        <v>189</v>
      </c>
    </row>
    <row r="7" spans="1:1">
      <c r="A7" s="11" t="s">
        <v>190</v>
      </c>
    </row>
    <row r="9" spans="1:1">
      <c r="A9" t="s">
        <v>191</v>
      </c>
    </row>
    <row r="10" spans="1:1">
      <c r="A10" t="s">
        <v>193</v>
      </c>
    </row>
    <row r="11" spans="1:1">
      <c r="A11" t="s">
        <v>192</v>
      </c>
    </row>
    <row r="12" spans="1:1">
      <c r="A12" s="11"/>
    </row>
    <row r="13" spans="1:1">
      <c r="A13" t="s">
        <v>194</v>
      </c>
    </row>
    <row r="14" spans="1:1">
      <c r="A14" s="11" t="s">
        <v>195</v>
      </c>
    </row>
    <row r="15" spans="1:1">
      <c r="A15" s="12" t="s">
        <v>196</v>
      </c>
    </row>
    <row r="16" spans="1:1">
      <c r="A16" s="11" t="s">
        <v>197</v>
      </c>
    </row>
    <row r="18" spans="1:4">
      <c r="A18" t="s">
        <v>198</v>
      </c>
    </row>
    <row r="19" spans="1:4">
      <c r="A19" s="11" t="s">
        <v>199</v>
      </c>
    </row>
    <row r="20" spans="1:4">
      <c r="A20" s="11" t="s">
        <v>196</v>
      </c>
    </row>
    <row r="21" spans="1:4">
      <c r="A21" s="11" t="s">
        <v>200</v>
      </c>
    </row>
    <row r="23" spans="1:4">
      <c r="A23" t="s">
        <v>201</v>
      </c>
    </row>
    <row r="24" spans="1:4">
      <c r="A24" s="11" t="s">
        <v>202</v>
      </c>
    </row>
    <row r="25" spans="1:4">
      <c r="A25" s="11" t="s">
        <v>203</v>
      </c>
    </row>
    <row r="27" spans="1:4">
      <c r="A27" t="s">
        <v>204</v>
      </c>
    </row>
    <row r="28" spans="1:4">
      <c r="A28" t="s">
        <v>205</v>
      </c>
    </row>
    <row r="29" spans="1:4">
      <c r="A29" s="13"/>
    </row>
    <row r="30" spans="1:4">
      <c r="A30" t="s">
        <v>206</v>
      </c>
      <c r="B30" s="4" t="s">
        <v>207</v>
      </c>
      <c r="C30" s="5" t="s">
        <v>208</v>
      </c>
    </row>
    <row r="31" spans="1:4">
      <c r="B31" s="3" t="s">
        <v>209</v>
      </c>
      <c r="C31" s="6" t="s">
        <v>210</v>
      </c>
      <c r="D31" t="s">
        <v>232</v>
      </c>
    </row>
    <row r="32" spans="1:4">
      <c r="B32" s="3" t="s">
        <v>211</v>
      </c>
      <c r="C32" s="6" t="s">
        <v>212</v>
      </c>
      <c r="D32" t="s">
        <v>231</v>
      </c>
    </row>
    <row r="33" spans="1:7">
      <c r="A33" s="13"/>
      <c r="B33" s="3" t="s">
        <v>213</v>
      </c>
      <c r="C33" s="6" t="s">
        <v>214</v>
      </c>
      <c r="D33" t="s">
        <v>230</v>
      </c>
    </row>
    <row r="34" spans="1:7">
      <c r="B34" s="3" t="s">
        <v>215</v>
      </c>
      <c r="C34" s="6" t="s">
        <v>216</v>
      </c>
      <c r="D34" t="s">
        <v>229</v>
      </c>
      <c r="G34" t="s">
        <v>233</v>
      </c>
    </row>
    <row r="37" spans="1:7">
      <c r="A37" t="s">
        <v>217</v>
      </c>
    </row>
    <row r="38" spans="1:7">
      <c r="A38" s="11" t="s">
        <v>218</v>
      </c>
    </row>
    <row r="39" spans="1:7">
      <c r="A39" s="11" t="s">
        <v>219</v>
      </c>
    </row>
    <row r="40" spans="1:7">
      <c r="A40" t="s">
        <v>220</v>
      </c>
    </row>
    <row r="42" spans="1:7">
      <c r="A42" t="s">
        <v>221</v>
      </c>
    </row>
    <row r="43" spans="1:7">
      <c r="A43" s="11"/>
    </row>
    <row r="44" spans="1:7">
      <c r="A44" s="11" t="s">
        <v>222</v>
      </c>
    </row>
    <row r="45" spans="1:7">
      <c r="A45" s="12" t="s">
        <v>223</v>
      </c>
    </row>
    <row r="47" spans="1:7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142</v>
      </c>
      <c r="B1" s="5" t="s">
        <v>143</v>
      </c>
      <c r="C1" s="5" t="s">
        <v>144</v>
      </c>
      <c r="D1" s="4" t="s">
        <v>145</v>
      </c>
    </row>
    <row r="2" spans="1:4">
      <c r="A2" s="3">
        <v>1</v>
      </c>
      <c r="B2" s="6" t="s">
        <v>146</v>
      </c>
      <c r="C2" s="7" t="s">
        <v>147</v>
      </c>
      <c r="D2" s="8">
        <v>1019500</v>
      </c>
    </row>
    <row r="3" spans="1:4">
      <c r="A3" s="3">
        <v>2</v>
      </c>
      <c r="B3" s="6" t="s">
        <v>148</v>
      </c>
      <c r="C3" s="7" t="s">
        <v>149</v>
      </c>
      <c r="D3" s="8">
        <v>443500</v>
      </c>
    </row>
    <row r="4" spans="1:4">
      <c r="A4" s="3">
        <v>2</v>
      </c>
      <c r="B4" s="6" t="s">
        <v>150</v>
      </c>
      <c r="C4" s="7" t="s">
        <v>149</v>
      </c>
      <c r="D4" s="8">
        <v>89500</v>
      </c>
    </row>
    <row r="5" spans="1:4">
      <c r="A5" s="3">
        <v>2</v>
      </c>
      <c r="B5" s="6" t="s">
        <v>151</v>
      </c>
      <c r="C5" s="7" t="s">
        <v>149</v>
      </c>
      <c r="D5" s="8">
        <v>77500</v>
      </c>
    </row>
    <row r="6" spans="1:4">
      <c r="A6" s="3">
        <v>2</v>
      </c>
      <c r="B6" s="6" t="s">
        <v>152</v>
      </c>
      <c r="C6" s="7" t="s">
        <v>149</v>
      </c>
      <c r="D6" s="8">
        <v>179000</v>
      </c>
    </row>
    <row r="7" spans="1:4">
      <c r="A7" s="3">
        <v>2</v>
      </c>
      <c r="B7" s="6" t="s">
        <v>153</v>
      </c>
      <c r="C7" s="7" t="s">
        <v>149</v>
      </c>
      <c r="D7" s="8">
        <v>230000</v>
      </c>
    </row>
    <row r="8" spans="1:4">
      <c r="A8" s="3">
        <v>3</v>
      </c>
      <c r="B8" s="6" t="s">
        <v>154</v>
      </c>
      <c r="C8" s="7" t="s">
        <v>155</v>
      </c>
      <c r="D8" s="4">
        <v>10</v>
      </c>
    </row>
    <row r="9" spans="1:4">
      <c r="A9" s="3">
        <v>3</v>
      </c>
      <c r="B9" s="6" t="s">
        <v>156</v>
      </c>
      <c r="C9" s="7" t="s">
        <v>155</v>
      </c>
      <c r="D9" s="4">
        <v>7</v>
      </c>
    </row>
    <row r="10" spans="1:4">
      <c r="A10" s="3">
        <v>3</v>
      </c>
      <c r="B10" s="6" t="s">
        <v>157</v>
      </c>
      <c r="C10" s="7" t="s">
        <v>155</v>
      </c>
      <c r="D10" s="4">
        <v>8</v>
      </c>
    </row>
    <row r="11" spans="1:4">
      <c r="A11" s="3">
        <v>3</v>
      </c>
      <c r="B11" s="6" t="s">
        <v>158</v>
      </c>
      <c r="C11" s="7" t="s">
        <v>155</v>
      </c>
      <c r="D11" s="4">
        <v>7</v>
      </c>
    </row>
    <row r="12" spans="1:4">
      <c r="A12" s="3">
        <v>3</v>
      </c>
      <c r="B12" s="6" t="s">
        <v>159</v>
      </c>
      <c r="C12" s="7" t="s">
        <v>155</v>
      </c>
      <c r="D12" s="4">
        <v>8</v>
      </c>
    </row>
    <row r="13" spans="1:4">
      <c r="A13" s="3">
        <v>4</v>
      </c>
      <c r="B13" s="6" t="s">
        <v>160</v>
      </c>
      <c r="C13" s="7" t="s">
        <v>161</v>
      </c>
      <c r="D13" s="8">
        <v>44350</v>
      </c>
    </row>
    <row r="14" spans="1:4">
      <c r="A14" s="3">
        <v>4</v>
      </c>
      <c r="B14" s="6" t="s">
        <v>162</v>
      </c>
      <c r="C14" s="7" t="s">
        <v>161</v>
      </c>
      <c r="D14" s="9">
        <v>12785.71</v>
      </c>
    </row>
    <row r="15" spans="1:4">
      <c r="A15" s="3">
        <v>4</v>
      </c>
      <c r="B15" s="6" t="s">
        <v>163</v>
      </c>
      <c r="C15" s="7" t="s">
        <v>161</v>
      </c>
      <c r="D15" s="9">
        <v>9687.5</v>
      </c>
    </row>
    <row r="16" spans="1:4">
      <c r="A16" s="3">
        <v>4</v>
      </c>
      <c r="B16" s="6" t="s">
        <v>164</v>
      </c>
      <c r="C16" s="7" t="s">
        <v>161</v>
      </c>
      <c r="D16" s="9">
        <v>25571.43</v>
      </c>
    </row>
    <row r="17" spans="1:4">
      <c r="A17" s="3">
        <v>4</v>
      </c>
      <c r="B17" s="6" t="s">
        <v>165</v>
      </c>
      <c r="C17" s="7" t="s">
        <v>161</v>
      </c>
      <c r="D17" s="8">
        <v>28750</v>
      </c>
    </row>
    <row r="18" spans="1:4">
      <c r="A18" s="3">
        <v>5</v>
      </c>
      <c r="B18" s="6" t="s">
        <v>166</v>
      </c>
      <c r="C18" s="7" t="s">
        <v>149</v>
      </c>
      <c r="D18" s="8">
        <v>499500</v>
      </c>
    </row>
    <row r="19" spans="1:4">
      <c r="A19" s="3">
        <v>6</v>
      </c>
      <c r="B19" s="6" t="s">
        <v>167</v>
      </c>
      <c r="C19" s="7" t="s">
        <v>155</v>
      </c>
      <c r="D19" s="4">
        <v>10</v>
      </c>
    </row>
    <row r="20" spans="1:4">
      <c r="A20" s="3">
        <v>7</v>
      </c>
      <c r="B20" s="6" t="s">
        <v>168</v>
      </c>
      <c r="C20" s="7" t="s">
        <v>149</v>
      </c>
      <c r="D20" s="8">
        <v>344500</v>
      </c>
    </row>
    <row r="21" spans="1:4">
      <c r="A21" s="3">
        <v>8</v>
      </c>
      <c r="B21" s="6" t="s">
        <v>169</v>
      </c>
      <c r="C21" s="7" t="s">
        <v>170</v>
      </c>
      <c r="D21" s="8">
        <v>275500</v>
      </c>
    </row>
    <row r="22" spans="1:4">
      <c r="A22" s="3">
        <v>9</v>
      </c>
      <c r="B22" s="6" t="s">
        <v>171</v>
      </c>
      <c r="C22" s="7" t="s">
        <v>172</v>
      </c>
      <c r="D22" s="4">
        <v>4</v>
      </c>
    </row>
    <row r="23" spans="1:4">
      <c r="A23" s="3">
        <v>10</v>
      </c>
      <c r="B23" s="6" t="s">
        <v>173</v>
      </c>
      <c r="C23" s="7" t="s">
        <v>161</v>
      </c>
      <c r="D23" s="9">
        <v>25766.67</v>
      </c>
    </row>
    <row r="24" spans="1:4">
      <c r="A24" s="3">
        <v>11</v>
      </c>
      <c r="B24" s="6" t="s">
        <v>174</v>
      </c>
      <c r="C24" s="7" t="s">
        <v>155</v>
      </c>
      <c r="D24" s="4">
        <v>9</v>
      </c>
    </row>
    <row r="25" spans="1:4">
      <c r="A25" s="3">
        <v>12</v>
      </c>
      <c r="B25" s="6" t="s">
        <v>175</v>
      </c>
      <c r="C25" s="7" t="s">
        <v>149</v>
      </c>
      <c r="D25" s="8">
        <v>508000</v>
      </c>
    </row>
    <row r="26" spans="1:4">
      <c r="A26" s="3">
        <v>13</v>
      </c>
      <c r="B26" s="6" t="s">
        <v>176</v>
      </c>
      <c r="C26" s="7" t="s">
        <v>155</v>
      </c>
      <c r="D26" s="4">
        <v>11</v>
      </c>
    </row>
    <row r="27" spans="1:4">
      <c r="A27" s="3">
        <v>14</v>
      </c>
      <c r="B27" s="6" t="s">
        <v>177</v>
      </c>
      <c r="C27" s="7" t="s">
        <v>149</v>
      </c>
      <c r="D27" s="8">
        <v>582000</v>
      </c>
    </row>
    <row r="28" spans="1:4">
      <c r="A28" s="3">
        <v>15</v>
      </c>
      <c r="B28" s="6" t="s">
        <v>178</v>
      </c>
      <c r="C28" s="7" t="s">
        <v>170</v>
      </c>
      <c r="D28" s="8">
        <v>320000</v>
      </c>
    </row>
    <row r="29" spans="1:4" ht="28.8">
      <c r="A29" s="3">
        <v>16</v>
      </c>
      <c r="B29" s="6" t="s">
        <v>179</v>
      </c>
      <c r="C29" s="7" t="s">
        <v>161</v>
      </c>
      <c r="D29" s="4" t="s">
        <v>180</v>
      </c>
    </row>
    <row r="30" spans="1:4">
      <c r="A30" s="3">
        <v>17</v>
      </c>
      <c r="B30" s="6" t="s">
        <v>181</v>
      </c>
      <c r="C30" s="7" t="s">
        <v>182</v>
      </c>
      <c r="D30" s="8">
        <v>76000</v>
      </c>
    </row>
    <row r="31" spans="1:4">
      <c r="A31" s="3">
        <v>18</v>
      </c>
      <c r="B31" s="6" t="s">
        <v>183</v>
      </c>
      <c r="C31" s="7" t="s">
        <v>184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Patient_Data</vt:lpstr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Rajesh Jaligapu</cp:lastModifiedBy>
  <dcterms:created xsi:type="dcterms:W3CDTF">2026-09-09T05:55:57Z</dcterms:created>
  <dcterms:modified xsi:type="dcterms:W3CDTF">2026-10-29T18:50:11Z</dcterms:modified>
</cp:coreProperties>
</file>